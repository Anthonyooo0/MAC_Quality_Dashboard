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mplaintTable" displayName="ComplaintTable" ref="A1:I19" headerRowCount="1">
  <autoFilter ref="A1:I19"/>
  <tableColumns count="9">
    <tableColumn id="1" name="Date (ET)"/>
    <tableColumn id="2" name="Initiated By"/>
    <tableColumn id="3" name="P/N"/>
    <tableColumn id="4" name="Category"/>
    <tableColumn id="5" name="Category_Final"/>
    <tableColumn id="6" name="Summary"/>
    <tableColumn id="7" name="Subject"/>
    <tableColumn id="8" name="Notes"/>
    <tableColumn id="9" name="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18" customWidth="1" min="4" max="4"/>
    <col width="18" customWidth="1" min="5" max="5"/>
    <col width="64" customWidth="1" min="6" max="6"/>
    <col width="44" customWidth="1" min="7" max="7"/>
    <col width="30" customWidth="1" min="8" max="8"/>
    <col width="10" customWidth="1" min="9" max="9"/>
  </cols>
  <sheetData>
    <row r="1">
      <c r="A1" s="1" t="inlineStr">
        <is>
          <t>Date (ET)</t>
        </is>
      </c>
      <c r="B1" s="1" t="inlineStr">
        <is>
          <t>Initiated By</t>
        </is>
      </c>
      <c r="C1" s="1" t="inlineStr">
        <is>
          <t>P/N</t>
        </is>
      </c>
      <c r="D1" s="1" t="inlineStr">
        <is>
          <t>Category</t>
        </is>
      </c>
      <c r="E1" s="1" t="inlineStr">
        <is>
          <t>Category_Final</t>
        </is>
      </c>
      <c r="F1" s="1" t="inlineStr">
        <is>
          <t>Summary</t>
        </is>
      </c>
      <c r="G1" s="1" t="inlineStr">
        <is>
          <t>Subject</t>
        </is>
      </c>
      <c r="H1" s="1" t="inlineStr">
        <is>
          <t>Notes</t>
        </is>
      </c>
      <c r="I1" s="1" t="inlineStr">
        <is>
          <t>Link</t>
        </is>
      </c>
    </row>
    <row r="2">
      <c r="A2" s="2" t="n">
        <v>45967</v>
      </c>
      <c r="B2" t="inlineStr">
        <is>
          <t>CustomerService@sephora.com</t>
        </is>
      </c>
      <c r="C2" t="inlineStr">
        <is>
          <t>No part number provided</t>
        </is>
      </c>
      <c r="D2" t="inlineStr">
        <is>
          <t>Other</t>
        </is>
      </c>
      <c r="E2" t="inlineStr"/>
      <c r="F2" s="3" t="inlineStr">
        <is>
          <t>The customer states that the provided gift card number is incorrect and provides the correct address for issuing a check. Confirmation is requested once the check has been sent.</t>
        </is>
      </c>
      <c r="G2" t="inlineStr">
        <is>
          <t>[EXTERNAL] RE: Gift Cards Inquiry [Incident: 251120-000278]</t>
        </is>
      </c>
      <c r="H2" t="inlineStr"/>
      <c r="I2">
        <f>HYPERLINK("https://outlook.office365.com/owa/?ItemID=AAMkADljNTUwMGI1LThkYTAtNGZkNC04YmZlLTRiNjhhMzIxMDA2MQBGAAAAAACBW554QjWGQ7pQZoWhxwunBwCkwQss5ENkQ4TY4t2dhWGqAAAAAAEMAACkwQss5ENkQ4TY4t2dhWGqAABmyCQzAAA%3D&amp;exvsurl=1&amp;viewmodel=ReadMessageItem", "Open")</f>
        <v/>
      </c>
    </row>
    <row r="3">
      <c r="A3" s="2" t="n">
        <v>45912.5853587963</v>
      </c>
      <c r="B3" t="inlineStr">
        <is>
          <t>Anthony.Jimenez@macproducts.net</t>
        </is>
      </c>
      <c r="C3" t="inlineStr">
        <is>
          <t>AX-1295050</t>
        </is>
      </c>
      <c r="D3" t="inlineStr">
        <is>
          <t>Product</t>
        </is>
      </c>
      <c r="E3" t="inlineStr"/>
      <c r="F3" s="3" t="inlineStr">
        <is>
          <t>Received shipment with loose studs, cracked housings, and bad threads on part AX-1295050, indicating a defect. An RMA is requested to return the parts for rework or replacement.</t>
        </is>
      </c>
      <c r="G3" t="inlineStr">
        <is>
          <t>Email Reagrding Part Malfunction</t>
        </is>
      </c>
      <c r="H3" t="inlineStr"/>
      <c r="I3">
        <f>HYPERLINK("https://outlook.office365.com/owa/?ItemID=AAMkADljNTUwMGI1LThkYTAtNGZkNC04YmZlLTRiNjhhMzIxMDA2MQBGAAAAAACBW554QjWGQ7pQZoWhxwunBwCkwQss5ENkQ4TY4t2dhWGqAAAAAAEMAACkwQss5ENkQ4TY4t2dhWGqAAABs4yyAAA%3D&amp;exvsurl=1&amp;viewmodel=ReadMessageItem", "Open")</f>
        <v/>
      </c>
    </row>
    <row r="4">
      <c r="A4" s="2" t="n">
        <v>45912.56074074074</v>
      </c>
      <c r="B4" t="inlineStr">
        <is>
          <t>Anthony.Jimenez@macproducts.net</t>
        </is>
      </c>
      <c r="C4" t="inlineStr">
        <is>
          <t>AX-129</t>
        </is>
      </c>
      <c r="D4" t="inlineStr">
        <is>
          <t>Product</t>
        </is>
      </c>
      <c r="E4" t="inlineStr"/>
      <c r="F4" s="3" t="inlineStr">
        <is>
          <t>Received shipment PO#45678 with loose studs and cracking on the housing of part AX-129. An RMA is requested to return the defective parts for rework or replacement.</t>
        </is>
      </c>
      <c r="G4" t="inlineStr">
        <is>
          <t>Urgent Complaint – Defective Parts / Request for RMA</t>
        </is>
      </c>
      <c r="H4" t="inlineStr"/>
      <c r="I4">
        <f>HYPERLINK("https://outlook.office365.com/owa/?ItemID=AAMkADljNTUwMGI1LThkYTAtNGZkNC04YmZlLTRiNjhhMzIxMDA2MQBGAAAAAACBW554QjWGQ7pQZoWhxwunBwCkwQss5ENkQ4TY4t2dhWGqAAAAAAEMAACkwQss5ENkQ4TY4t2dhWGqAAABs4yxAAA%3D&amp;exvsurl=1&amp;viewmodel=ReadMessageItem", "Open")</f>
        <v/>
      </c>
    </row>
    <row r="5">
      <c r="A5" s="2" t="n">
        <v>45911.45833333334</v>
      </c>
      <c r="B5" t="inlineStr">
        <is>
          <t>Michelle.Soares@macproducts.net</t>
        </is>
      </c>
      <c r="C5" t="inlineStr">
        <is>
          <t>D8989-47</t>
        </is>
      </c>
      <c r="D5" t="inlineStr">
        <is>
          <t>Product</t>
        </is>
      </c>
      <c r="E5" t="inlineStr"/>
      <c r="F5" s="3" t="inlineStr">
        <is>
          <t>Inquiry regarding gaps visible on the enclosure side of part D8989-47. The sender wants to avoid repeating the issue.</t>
        </is>
      </c>
      <c r="G5" t="inlineStr">
        <is>
          <t>D8989-47 Inspection CRITICAL REPORT, PO 166323,</t>
        </is>
      </c>
      <c r="H5" t="inlineStr"/>
      <c r="I5">
        <f>HYPERLINK("https://outlook.office365.com/owa/?ItemID=AAMkADljNTUwMGI1LThkYTAtNGZkNC04YmZlLTRiNjhhMzIxMDA2MQBGAAAAAACBW554QjWGQ7pQZoWhxwunBwCkwQss5ENkQ4TY4t2dhWGqAAAAAAEMAACkwQss5ENkQ4TY4t2dhWGqAAAIRRLHAAA%3D&amp;exvsurl=1&amp;viewmodel=ReadMessageItem", "Open")</f>
        <v/>
      </c>
    </row>
    <row r="6">
      <c r="A6" s="2" t="n">
        <v>45896</v>
      </c>
      <c r="B6" t="inlineStr">
        <is>
          <t>Anthony.Jimenez@macproducts.net</t>
        </is>
      </c>
      <c r="C6" t="inlineStr">
        <is>
          <t>84E904853AKG200</t>
        </is>
      </c>
      <c r="D6" t="inlineStr">
        <is>
          <t>Supplier/SCAR</t>
        </is>
      </c>
      <c r="E6" t="inlineStr"/>
      <c r="F6" s="3" t="inlineStr">
        <is>
          <t>The email asks if the issue with the 84E904853AKG200 kits was caused by MAC Products.</t>
        </is>
      </c>
      <c r="G6" t="inlineStr">
        <is>
          <t>MAC- NCMR 2025-075954 84E904853AKG200 Kits</t>
        </is>
      </c>
      <c r="H6" t="inlineStr"/>
      <c r="I6">
        <f>HYPERLINK("https://outlook.office365.com/owa/?ItemID=AAMkADljNTUwMGI1LThkYTAtNGZkNC04YmZlLTRiNjhhMzIxMDA2MQBGAAAAAACBW554QjWGQ7pQZoWhxwunBwCkwQss5ENkQ4TY4t2dhWGqAAAAAAEMAACkwQss5ENkQ4TY4t2dhWGqAAAIRRK%2FAAA%3D&amp;exvsurl=1&amp;viewmodel=ReadMessageItem", "Open")</f>
        <v/>
      </c>
    </row>
    <row r="7">
      <c r="A7" s="2" t="n">
        <v>45890.14652777778</v>
      </c>
      <c r="B7" t="inlineStr">
        <is>
          <t>Geoff.Faltot@wabtec.com</t>
        </is>
      </c>
      <c r="C7" t="inlineStr">
        <is>
          <t>41D759854G1</t>
        </is>
      </c>
      <c r="D7" t="inlineStr">
        <is>
          <t>Missing Parts</t>
        </is>
      </c>
      <c r="E7" t="inlineStr"/>
      <c r="F7" s="3" t="inlineStr">
        <is>
          <t>The customer is inquiring about why part 41D759854G1 was missing from kit 84E902323ABG1.</t>
        </is>
      </c>
      <c r="G7" t="inlineStr">
        <is>
          <t>[EXTERNAL]: RE: 41D759854G1 Can we make?</t>
        </is>
      </c>
      <c r="H7" t="inlineStr"/>
      <c r="I7">
        <f>HYPERLINK("https://outlook.office365.com/owa/?ItemID=AAMkADljNTUwMGI1LThkYTAtNGZkNC04YmZlLTRiNjhhMzIxMDA2MQBGAAAAAACBW554QjWGQ7pQZoWhxwunBwCkwQss5ENkQ4TY4t2dhWGqAAAAAAEMAACkwQss5ENkQ4TY4t2dhWGqAAAIRRLKAAA%3D&amp;exvsurl=1&amp;viewmodel=ReadMessageItem", "Open")</f>
        <v/>
      </c>
    </row>
    <row r="8">
      <c r="A8" s="2" t="n">
        <v>45875.54861111111</v>
      </c>
      <c r="B8" t="inlineStr">
        <is>
          <t>singkong.lee@Wabtec.com</t>
        </is>
      </c>
      <c r="C8" t="inlineStr">
        <is>
          <t>41C663102G1</t>
        </is>
      </c>
      <c r="D8" t="inlineStr">
        <is>
          <t>Supplier/SCAR</t>
        </is>
      </c>
      <c r="E8" t="inlineStr"/>
      <c r="F8" s="3" t="inlineStr">
        <is>
          <t>The coil size is incorrect, as determined by a previous complaint. A picture of a coil from stock was provided.</t>
        </is>
      </c>
      <c r="G8" t="inlineStr">
        <is>
          <t>NCMR-2025-073665; 41C663102G1</t>
        </is>
      </c>
      <c r="H8" t="inlineStr"/>
      <c r="I8">
        <f>HYPERLINK("https://outlook.office365.com/owa/?ItemID=AAMkADljNTUwMGI1LThkYTAtNGZkNC04YmZlLTRiNjhhMzIxMDA2MQBGAAAAAACBW554QjWGQ7pQZoWhxwunBwCkwQss5ENkQ4TY4t2dhWGqAAAAAAEMAACkwQss5ENkQ4TY4t2dhWGqAAAIRRK5AAA%3D&amp;exvsurl=1&amp;viewmodel=ReadMessageItem", "Open")</f>
        <v/>
      </c>
    </row>
    <row r="9">
      <c r="A9" s="2" t="n">
        <v>45838.46458333333</v>
      </c>
      <c r="B9" t="inlineStr">
        <is>
          <t>Anthony.Jimenez@macproducts.net</t>
        </is>
      </c>
      <c r="C9" t="inlineStr">
        <is>
          <t>84B108875P1</t>
        </is>
      </c>
      <c r="D9" t="inlineStr">
        <is>
          <t>Supplier/SCAR</t>
        </is>
      </c>
      <c r="E9" t="inlineStr"/>
      <c r="F9" s="3" t="inlineStr">
        <is>
          <t>Multiple parts in the work area, PN-84B108875P1 and 84B108876P1, failed due to wrong parts shipped. No action was requested in the latest reply.</t>
        </is>
      </c>
      <c r="G9" t="inlineStr">
        <is>
          <t>Assignment to Supplier Corrective Action Current Phase:  Response #SCAR-2025-00574, Jul 30, 2025</t>
        </is>
      </c>
      <c r="H9" t="inlineStr"/>
      <c r="I9">
        <f>HYPERLINK("https://outlook.office365.com/owa/?ItemID=AAMkADljNTUwMGI1LThkYTAtNGZkNC04YmZlLTRiNjhhMzIxMDA2MQBGAAAAAACBW554QjWGQ7pQZoWhxwunBwCkwQss5ENkQ4TY4t2dhWGqAAAAAAEMAACkwQss5ENkQ4TY4t2dhWGqAAAIRRK6AAA%3D&amp;exvsurl=1&amp;viewmodel=ReadMessageItem", "Open")</f>
        <v/>
      </c>
    </row>
    <row r="10">
      <c r="A10" s="2" t="n">
        <v>45835.49930555555</v>
      </c>
      <c r="B10" t="inlineStr">
        <is>
          <t>chirag.patel@macproducts.net</t>
        </is>
      </c>
      <c r="C10" t="inlineStr">
        <is>
          <t>181G5</t>
        </is>
      </c>
      <c r="D10" t="inlineStr">
        <is>
          <t>Product</t>
        </is>
      </c>
      <c r="E10" t="inlineStr"/>
      <c r="F10" s="3" t="inlineStr">
        <is>
          <t>Wabtec rejected 33 units of part 181G5 due to a coating issue. Inspection of inventory and staged coils is requested.</t>
        </is>
      </c>
      <c r="G10" t="inlineStr">
        <is>
          <t>181G5 coils</t>
        </is>
      </c>
      <c r="H10" t="inlineStr"/>
      <c r="I10">
        <f>HYPERLINK("https://outlook.office365.com/owa/?ItemID=AAMkADljNTUwMGI1LThkYTAtNGZkNC04YmZlLTRiNjhhMzIxMDA2MQBGAAAAAACBW554QjWGQ7pQZoWhxwunBwCkwQss5ENkQ4TY4t2dhWGqAAAAAAEMAACkwQss5ENkQ4TY4t2dhWGqAAAIRRLMAAA%3D&amp;exvsurl=1&amp;viewmodel=ReadMessageItem", "Open")</f>
        <v/>
      </c>
    </row>
    <row r="11">
      <c r="A11" s="2" t="n">
        <v>45834.32986111111</v>
      </c>
      <c r="B11" t="inlineStr">
        <is>
          <t>Marcia.Almeida@macproducts.net</t>
        </is>
      </c>
      <c r="C11" t="inlineStr">
        <is>
          <t>84C639291ABG1</t>
        </is>
      </c>
      <c r="D11" t="inlineStr">
        <is>
          <t>Product</t>
        </is>
      </c>
      <c r="E11" t="inlineStr"/>
      <c r="F11" s="3" t="inlineStr">
        <is>
          <t>Two busbars, part number 84C639291ABG1, were rejected by QC after plating. They will be stripped and replated.</t>
        </is>
      </c>
      <c r="G11" t="inlineStr">
        <is>
          <t>Last two Busbars on the HOT KIT - 84C639291ABG1 Rev. C</t>
        </is>
      </c>
      <c r="H11" t="inlineStr"/>
      <c r="I11">
        <f>HYPERLINK("https://outlook.office365.com/owa/?ItemID=AAMkADljNTUwMGI1LThkYTAtNGZkNC04YmZlLTRiNjhhMzIxMDA2MQBGAAAAAACBW554QjWGQ7pQZoWhxwunBwCkwQss5ENkQ4TY4t2dhWGqAAAAAAEMAACkwQss5ENkQ4TY4t2dhWGqAAAIRRLBAAA%3D&amp;exvsurl=1&amp;viewmodel=ReadMessageItem", "Open")</f>
        <v/>
      </c>
    </row>
    <row r="12">
      <c r="A12" s="2" t="n">
        <v>45821.81111111111</v>
      </c>
      <c r="B12" t="inlineStr">
        <is>
          <t>Anthony.Jimenez@macproducts.net</t>
        </is>
      </c>
      <c r="C12" t="inlineStr">
        <is>
          <t>8868241AAP16</t>
        </is>
      </c>
      <c r="D12" t="inlineStr">
        <is>
          <t>Damage/Transit</t>
        </is>
      </c>
      <c r="E12" t="inlineStr"/>
      <c r="F12" s="3" t="inlineStr">
        <is>
          <t>The customer is requesting an update on the credit note for damaged terminal part number 8868241AAP16.</t>
        </is>
      </c>
      <c r="G12" t="inlineStr">
        <is>
          <t>8868241AAP16 Terminal damage issue (SCAR NO-20250606)</t>
        </is>
      </c>
      <c r="H12" t="inlineStr"/>
      <c r="I12">
        <f>HYPERLINK("https://outlook.office365.com/owa/?ItemID=AAMkADljNTUwMGI1LThkYTAtNGZkNC04YmZlLTRiNjhhMzIxMDA2MQBGAAAAAACBW554QjWGQ7pQZoWhxwunBwCkwQss5ENkQ4TY4t2dhWGqAAAAAAEMAACkwQss5ENkQ4TY4t2dhWGqAAAIRRK%2BAAA%3D&amp;exvsurl=1&amp;viewmodel=ReadMessageItem", "Open")</f>
        <v/>
      </c>
    </row>
    <row r="13">
      <c r="A13" s="2" t="n">
        <v>45818.47569444445</v>
      </c>
      <c r="B13" t="inlineStr">
        <is>
          <t>singkong.lee@Wabtec.com</t>
        </is>
      </c>
      <c r="C13" t="inlineStr">
        <is>
          <t>496A427G1</t>
        </is>
      </c>
      <c r="D13" t="inlineStr">
        <is>
          <t>Product</t>
        </is>
      </c>
      <c r="E13" t="inlineStr"/>
      <c r="F13" s="3" t="inlineStr">
        <is>
          <t>The rod did not pass freely in one of four tested pieces, and the contact support dimension is out of tolerance in three assemblies. A discrepancy in the aperture was also found. Further action is requested.</t>
        </is>
      </c>
      <c r="G13" t="inlineStr">
        <is>
          <t>NCMR-2025-063778; 496A427G1</t>
        </is>
      </c>
      <c r="H13" t="inlineStr"/>
      <c r="I13">
        <f>HYPERLINK("https://outlook.office365.com/owa/?ItemID=AAMkADljNTUwMGI1LThkYTAtNGZkNC04YmZlLTRiNjhhMzIxMDA2MQBGAAAAAACBW554QjWGQ7pQZoWhxwunBwCkwQss5ENkQ4TY4t2dhWGqAAAAAAEMAACkwQss5ENkQ4TY4t2dhWGqAAAIRRK8AAA%3D&amp;exvsurl=1&amp;viewmodel=ReadMessageItem", "Open")</f>
        <v/>
      </c>
    </row>
    <row r="14">
      <c r="A14" s="2" t="n">
        <v>45793.42083333333</v>
      </c>
      <c r="B14" t="inlineStr">
        <is>
          <t>chirag.patel@macproducts.net</t>
        </is>
      </c>
      <c r="C14" t="inlineStr">
        <is>
          <t>41C626910P1</t>
        </is>
      </c>
      <c r="D14" t="inlineStr">
        <is>
          <t>Product</t>
        </is>
      </c>
      <c r="E14" t="inlineStr"/>
      <c r="F14" s="3" t="inlineStr">
        <is>
          <t>Documents slide between slots and get stuck. Rework and return are requested.</t>
        </is>
      </c>
      <c r="G14" t="inlineStr">
        <is>
          <t>*** A new RMA:000897                    for SO:169512 has been created with Inspection Required ***</t>
        </is>
      </c>
      <c r="H14" t="inlineStr"/>
      <c r="I14">
        <f>HYPERLINK("https://outlook.office365.com/owa/?ItemID=AAMkADljNTUwMGI1LThkYTAtNGZkNC04YmZlLTRiNjhhMzIxMDA2MQBGAAAAAACBW554QjWGQ7pQZoWhxwunBwCkwQss5ENkQ4TY4t2dhWGqAAAAAAEMAACkwQss5ENkQ4TY4t2dhWGqAAAIRRK7AAA%3D&amp;exvsurl=1&amp;viewmodel=ReadMessageItem", "Open")</f>
        <v/>
      </c>
    </row>
    <row r="15">
      <c r="A15" s="2" t="n">
        <v>45777.19305555556</v>
      </c>
      <c r="B15" t="inlineStr">
        <is>
          <t>michael.nelson1@wabtec.com</t>
        </is>
      </c>
      <c r="C15" t="inlineStr">
        <is>
          <t>4709833AAP1</t>
        </is>
      </c>
      <c r="D15" t="inlineStr">
        <is>
          <t>Shipping</t>
        </is>
      </c>
      <c r="E15" t="inlineStr"/>
      <c r="F15" s="3" t="inlineStr">
        <is>
          <t>The latest reply indicates the sender is investigating the incident. The original email reported that PO 173865220 for part 4709833AAP1 contained 44 pieces of part 8868241AAP17, and a reshipment of the correct part was requested.</t>
        </is>
      </c>
      <c r="G15" t="inlineStr">
        <is>
          <t>PO 173865220</t>
        </is>
      </c>
      <c r="H15" t="inlineStr"/>
      <c r="I15">
        <f>HYPERLINK("https://outlook.office365.com/owa/?ItemID=AAMkADljNTUwMGI1LThkYTAtNGZkNC04YmZlLTRiNjhhMzIxMDA2MQBGAAAAAACBW554QjWGQ7pQZoWhxwunBwCkwQss5ENkQ4TY4t2dhWGqAAAAAAEMAACkwQss5ENkQ4TY4t2dhWGqAAAIRRK9AAA%3D&amp;exvsurl=1&amp;viewmodel=ReadMessageItem", "Open")</f>
        <v/>
      </c>
    </row>
    <row r="16">
      <c r="A16" s="2" t="n">
        <v>45771.35763888889</v>
      </c>
      <c r="B16" t="inlineStr">
        <is>
          <t>Arvind.Shejwal@nestgroup.net</t>
        </is>
      </c>
      <c r="C16" t="inlineStr">
        <is>
          <t>41A296332AJP1</t>
        </is>
      </c>
      <c r="D16" t="inlineStr">
        <is>
          <t>Product</t>
        </is>
      </c>
      <c r="E16" t="inlineStr"/>
      <c r="F16" s="3" t="inlineStr">
        <is>
          <t>A reminder was sent regarding part number 41A296332AJP1 with a broken pin. A credit note was requested.</t>
        </is>
      </c>
      <c r="G16" t="inlineStr">
        <is>
          <t>41A296332AJP1 SPRING PACK ASM Pin Damaged Issue SCAR NO.(20250411)</t>
        </is>
      </c>
      <c r="H16" t="inlineStr"/>
      <c r="I16">
        <f>HYPERLINK("https://outlook.office365.com/owa/?ItemID=AAMkADljNTUwMGI1LThkYTAtNGZkNC04YmZlLTRiNjhhMzIxMDA2MQBGAAAAAACBW554QjWGQ7pQZoWhxwunBwCkwQss5ENkQ4TY4t2dhWGqAAAAAAEMAACkwQss5ENkQ4TY4t2dhWGqAAAIRRLEAAA%3D&amp;exvsurl=1&amp;viewmodel=ReadMessageItem", "Open")</f>
        <v/>
      </c>
    </row>
    <row r="17">
      <c r="A17" s="2" t="n">
        <v>45745.25902777778</v>
      </c>
      <c r="B17" t="inlineStr">
        <is>
          <t>dhanshree.thorat@nestgroup.net</t>
        </is>
      </c>
      <c r="C17" t="inlineStr">
        <is>
          <t>41A296332AJP1</t>
        </is>
      </c>
      <c r="D17" t="inlineStr">
        <is>
          <t>Product</t>
        </is>
      </c>
      <c r="E17" t="inlineStr"/>
      <c r="F17" s="3" t="inlineStr">
        <is>
          <t>Two units of part 41A296332AJP1 have a radius orientation issue. Pickup is requested.</t>
        </is>
      </c>
      <c r="G17" t="inlineStr">
        <is>
          <t>41A296332AJP1  Radius Orientation wrong in the Spring ASM   SCAR No. (20250306)</t>
        </is>
      </c>
      <c r="H17" t="inlineStr"/>
      <c r="I17">
        <f>HYPERLINK("https://outlook.office365.com/owa/?ItemID=AAMkADljNTUwMGI1LThkYTAtNGZkNC04YmZlLTRiNjhhMzIxMDA2MQBGAAAAAACBW554QjWGQ7pQZoWhxwunBwCkwQss5ENkQ4TY4t2dhWGqAAAAAAEMAACkwQss5ENkQ4TY4t2dhWGqAAAIRRLDAAA%3D&amp;exvsurl=1&amp;viewmodel=ReadMessageItem", "Open")</f>
        <v/>
      </c>
    </row>
    <row r="18">
      <c r="A18" s="2" t="n">
        <v>45314.07361111111</v>
      </c>
      <c r="B18" t="inlineStr">
        <is>
          <t>chen.weiqing@shminmetals.com</t>
        </is>
      </c>
      <c r="C18" t="inlineStr">
        <is>
          <t>Z028001B050</t>
        </is>
      </c>
      <c r="D18" t="inlineStr">
        <is>
          <t>Supplier/SCAR</t>
        </is>
      </c>
      <c r="E18" t="inlineStr"/>
      <c r="F18" s="3" t="inlineStr">
        <is>
          <t>Rejected parts need to be packed for return to the vendor in Shanghai; vendor will arrange pickup.</t>
        </is>
      </c>
      <c r="G18" t="inlineStr">
        <is>
          <t>PO# 161935, Z028001B050 cast lug...disposition, NC 20445 - reply</t>
        </is>
      </c>
      <c r="H18" t="inlineStr"/>
      <c r="I18">
        <f>HYPERLINK("https://outlook.office365.com/owa/?ItemID=AAMkADljNTUwMGI1LThkYTAtNGZkNC04YmZlLTRiNjhhMzIxMDA2MQBGAAAAAACBW554QjWGQ7pQZoWhxwunBwCkwQss5ENkQ4TY4t2dhWGqAAAAAAEMAACkwQss5ENkQ4TY4t2dhWGqAAAIRRLIAAA%3D&amp;exvsurl=1&amp;viewmodel=ReadMessageItem", "Open")</f>
        <v/>
      </c>
    </row>
    <row r="19">
      <c r="A19" s="2" t="n">
        <v>45294.94305555556</v>
      </c>
      <c r="B19" t="inlineStr">
        <is>
          <t>chen.weiqing@shminmetals.com</t>
        </is>
      </c>
      <c r="C19" t="inlineStr">
        <is>
          <t>Z07000B318-1</t>
        </is>
      </c>
      <c r="D19" t="inlineStr">
        <is>
          <t>Supplier/SCAR</t>
        </is>
      </c>
      <c r="E19" t="inlineStr"/>
      <c r="F19" s="3" t="inlineStr">
        <is>
          <t>The drawing for part Z07000B318-1 is at Rev 2, and there have been no changes to the 6.50” feature. The sender is inquiring about potential changes in the factory manufacturing process.</t>
        </is>
      </c>
      <c r="G19" t="inlineStr">
        <is>
          <t>MAC - PO# 161133 , Z07000B318-1 non-conformity</t>
        </is>
      </c>
      <c r="H19" t="inlineStr"/>
      <c r="I19">
        <f>HYPERLINK("https://outlook.office365.com/owa/?ItemID=AAMkADljNTUwMGI1LThkYTAtNGZkNC04YmZlLTRiNjhhMzIxMDA2MQBGAAAAAACBW554QjWGQ7pQZoWhxwunBwCkwQss5ENkQ4TY4t2dhWGqAAAAAAEMAACkwQss5ENkQ4TY4t2dhWGqAAAIRRLGAAA%3D&amp;exvsurl=1&amp;viewmodel=ReadMessageItem", "Open")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2025-12-04T16:29:46Z</dcterms:created>
  <dcterms:modified xsi:type="dcterms:W3CDTF">2025-12-04T16:29:46Z</dcterms:modified>
</cp:coreProperties>
</file>